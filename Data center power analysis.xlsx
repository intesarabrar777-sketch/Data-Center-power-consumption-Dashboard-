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new file\Project File\All Project tracker\My working Update\Data Center Dashboard\"/>
    </mc:Choice>
  </mc:AlternateContent>
  <xr:revisionPtr revIDLastSave="0" documentId="13_ncr:1_{DA07BF4C-D775-47AA-B9C5-A45485309B94}" xr6:coauthVersionLast="47" xr6:coauthVersionMax="47" xr10:uidLastSave="{00000000-0000-0000-0000-000000000000}"/>
  <bookViews>
    <workbookView xWindow="-108" yWindow="-108" windowWidth="23256" windowHeight="12456" xr2:uid="{3BC0B556-74CA-4EE7-9B51-B26EA76E8E9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" i="1" l="1"/>
  <c r="AA14" i="1"/>
  <c r="AA15" i="1"/>
  <c r="AA13" i="1"/>
  <c r="AA12" i="1"/>
  <c r="AA11" i="1"/>
  <c r="AA10" i="1"/>
  <c r="AA9" i="1"/>
  <c r="AA8" i="1"/>
  <c r="AA7" i="1"/>
  <c r="AA6" i="1"/>
  <c r="AA5" i="1"/>
  <c r="AA4" i="1"/>
  <c r="AA3" i="1"/>
  <c r="AA2" i="1"/>
  <c r="E7" i="1" l="1"/>
  <c r="D7" i="1"/>
  <c r="Z3" i="1"/>
  <c r="Z7" i="1"/>
  <c r="Z8" i="1"/>
  <c r="Z11" i="1"/>
  <c r="Z14" i="1"/>
  <c r="Z15" i="1"/>
  <c r="Z2" i="1"/>
  <c r="X15" i="1"/>
  <c r="X14" i="1"/>
  <c r="Y12" i="1"/>
  <c r="X12" i="1"/>
  <c r="X10" i="1"/>
  <c r="X9" i="1"/>
  <c r="Y8" i="1"/>
  <c r="X8" i="1"/>
  <c r="X7" i="1"/>
  <c r="Y6" i="1"/>
  <c r="X6" i="1"/>
  <c r="Y4" i="1"/>
  <c r="X4" i="1"/>
  <c r="Y3" i="1"/>
  <c r="X3" i="1"/>
  <c r="Y2" i="1"/>
  <c r="X2" i="1"/>
  <c r="W3" i="1"/>
  <c r="W7" i="1"/>
  <c r="W8" i="1"/>
  <c r="W11" i="1"/>
  <c r="W14" i="1"/>
  <c r="W15" i="1"/>
  <c r="W2" i="1"/>
  <c r="T15" i="1" l="1"/>
  <c r="T14" i="1"/>
  <c r="T12" i="1"/>
  <c r="T11" i="1"/>
  <c r="T10" i="1"/>
  <c r="T9" i="1"/>
  <c r="T8" i="1"/>
  <c r="T7" i="1"/>
  <c r="T6" i="1"/>
  <c r="T3" i="1"/>
  <c r="T2" i="1"/>
  <c r="P8" i="1"/>
  <c r="Q15" i="1"/>
  <c r="P15" i="1"/>
  <c r="R15" i="1" s="1"/>
  <c r="Q14" i="1"/>
  <c r="P14" i="1"/>
  <c r="L9" i="1"/>
  <c r="K9" i="1"/>
  <c r="Q9" i="1"/>
  <c r="P9" i="1"/>
  <c r="R10" i="1"/>
  <c r="R11" i="1"/>
  <c r="R12" i="1"/>
  <c r="R13" i="1"/>
  <c r="Q8" i="1"/>
  <c r="R8" i="1" s="1"/>
  <c r="R9" i="1" l="1"/>
  <c r="R14" i="1"/>
  <c r="Q7" i="1"/>
  <c r="P7" i="1"/>
  <c r="R7" i="1" l="1"/>
  <c r="Q6" i="1"/>
  <c r="P6" i="1"/>
  <c r="Q4" i="1"/>
  <c r="P4" i="1"/>
  <c r="R4" i="1" s="1"/>
  <c r="Q3" i="1"/>
  <c r="P3" i="1"/>
  <c r="R2" i="1"/>
  <c r="L2" i="1"/>
  <c r="K2" i="1"/>
  <c r="O3" i="1"/>
  <c r="O4" i="1"/>
  <c r="O6" i="1"/>
  <c r="O7" i="1"/>
  <c r="O8" i="1"/>
  <c r="O9" i="1"/>
  <c r="O10" i="1"/>
  <c r="O11" i="1"/>
  <c r="O12" i="1"/>
  <c r="O14" i="1"/>
  <c r="O15" i="1"/>
  <c r="O2" i="1"/>
  <c r="S2" i="1" s="1"/>
  <c r="L15" i="1"/>
  <c r="L14" i="1"/>
  <c r="L8" i="1"/>
  <c r="L7" i="1"/>
  <c r="L6" i="1"/>
  <c r="L3" i="1"/>
  <c r="K15" i="1"/>
  <c r="K14" i="1"/>
  <c r="K8" i="1"/>
  <c r="K7" i="1"/>
  <c r="K3" i="1"/>
  <c r="K6" i="1"/>
  <c r="H15" i="1"/>
  <c r="G15" i="1"/>
  <c r="H14" i="1"/>
  <c r="G14" i="1"/>
  <c r="I14" i="1" s="1"/>
  <c r="H13" i="1"/>
  <c r="G13" i="1"/>
  <c r="H11" i="1"/>
  <c r="G11" i="1"/>
  <c r="I11" i="1" s="1"/>
  <c r="G8" i="1"/>
  <c r="H7" i="1"/>
  <c r="G7" i="1"/>
  <c r="H5" i="1"/>
  <c r="G5" i="1"/>
  <c r="H4" i="1"/>
  <c r="I4" i="1" s="1"/>
  <c r="G4" i="1"/>
  <c r="H3" i="1"/>
  <c r="G3" i="1"/>
  <c r="H6" i="1"/>
  <c r="H8" i="1"/>
  <c r="H9" i="1"/>
  <c r="H10" i="1"/>
  <c r="H12" i="1"/>
  <c r="G6" i="1"/>
  <c r="G9" i="1"/>
  <c r="J9" i="1" s="1"/>
  <c r="G10" i="1"/>
  <c r="I10" i="1" s="1"/>
  <c r="G12" i="1"/>
  <c r="I12" i="1" s="1"/>
  <c r="G2" i="1"/>
  <c r="H2" i="1"/>
  <c r="I2" i="1" s="1"/>
  <c r="F3" i="1"/>
  <c r="F4" i="1"/>
  <c r="AB4" i="1" s="1"/>
  <c r="F5" i="1"/>
  <c r="F6" i="1"/>
  <c r="AB6" i="1" s="1"/>
  <c r="F7" i="1"/>
  <c r="AB7" i="1" s="1"/>
  <c r="F8" i="1"/>
  <c r="AB8" i="1" s="1"/>
  <c r="F9" i="1"/>
  <c r="AB9" i="1" s="1"/>
  <c r="F10" i="1"/>
  <c r="AB10" i="1" s="1"/>
  <c r="F11" i="1"/>
  <c r="F12" i="1"/>
  <c r="AB12" i="1" s="1"/>
  <c r="F13" i="1"/>
  <c r="J13" i="1" s="1"/>
  <c r="F14" i="1"/>
  <c r="AB14" i="1" s="1"/>
  <c r="F15" i="1"/>
  <c r="E2" i="1"/>
  <c r="D2" i="1"/>
  <c r="F2" i="1" l="1"/>
  <c r="I6" i="1"/>
  <c r="J4" i="1"/>
  <c r="I7" i="1"/>
  <c r="I9" i="1"/>
  <c r="J12" i="1"/>
  <c r="U14" i="1"/>
  <c r="S9" i="1"/>
  <c r="U9" i="1"/>
  <c r="S4" i="1"/>
  <c r="J6" i="1"/>
  <c r="U12" i="1"/>
  <c r="S3" i="1"/>
  <c r="J15" i="1"/>
  <c r="AB15" i="1"/>
  <c r="J11" i="1"/>
  <c r="AB11" i="1"/>
  <c r="J3" i="1"/>
  <c r="AB3" i="1"/>
  <c r="I3" i="1"/>
  <c r="J5" i="1"/>
  <c r="J8" i="1"/>
  <c r="I13" i="1"/>
  <c r="U13" i="1" s="1"/>
  <c r="I15" i="1"/>
  <c r="J14" i="1"/>
  <c r="U11" i="1"/>
  <c r="S7" i="1"/>
  <c r="U15" i="1"/>
  <c r="U10" i="1"/>
  <c r="U4" i="1"/>
  <c r="J7" i="1"/>
  <c r="U7" i="1"/>
  <c r="I5" i="1"/>
  <c r="U5" i="1" s="1"/>
  <c r="J10" i="1"/>
  <c r="S8" i="1"/>
  <c r="S6" i="1"/>
  <c r="R6" i="1"/>
  <c r="U6" i="1" s="1"/>
  <c r="I8" i="1"/>
  <c r="U8" i="1" s="1"/>
  <c r="S15" i="1"/>
  <c r="R3" i="1"/>
  <c r="U3" i="1" s="1"/>
  <c r="S14" i="1"/>
  <c r="AB2" i="1" l="1"/>
  <c r="J2" i="1"/>
  <c r="U2" i="1"/>
</calcChain>
</file>

<file path=xl/sharedStrings.xml><?xml version="1.0" encoding="utf-8"?>
<sst xmlns="http://schemas.openxmlformats.org/spreadsheetml/2006/main" count="61" uniqueCount="43">
  <si>
    <t>Data Center Location</t>
  </si>
  <si>
    <t xml:space="preserve">Active Rectifier Load </t>
  </si>
  <si>
    <t>Redundant Rectifier Load</t>
  </si>
  <si>
    <t>Total DC load</t>
  </si>
  <si>
    <t xml:space="preserve">Active Rectifier Cap.  </t>
  </si>
  <si>
    <t>Redundant Rectifer Cap.</t>
  </si>
  <si>
    <t>Rectifer Usage (%)</t>
  </si>
  <si>
    <t xml:space="preserve">Active UPS Cap.  </t>
  </si>
  <si>
    <t>Redundant UPS Cap.</t>
  </si>
  <si>
    <t xml:space="preserve">Active UPS Load </t>
  </si>
  <si>
    <t>Redundant UPS Load</t>
  </si>
  <si>
    <t>Total UPS load</t>
  </si>
  <si>
    <t>UPS Usage (%)</t>
  </si>
  <si>
    <t xml:space="preserve">Cooling load </t>
  </si>
  <si>
    <t>Active Rectifer Battery Charging load</t>
  </si>
  <si>
    <t xml:space="preserve">Redundant Rectifier Battery Charging load </t>
  </si>
  <si>
    <t xml:space="preserve">Total Battery Charging load </t>
  </si>
  <si>
    <t>Active UPS Battery charging load</t>
  </si>
  <si>
    <t xml:space="preserve">Redundant UPS Battery Charging Load </t>
  </si>
  <si>
    <t xml:space="preserve">Total UPS Battery Charging load </t>
  </si>
  <si>
    <t xml:space="preserve">Sanction load </t>
  </si>
  <si>
    <t>Active DG Cap.</t>
  </si>
  <si>
    <t xml:space="preserve">Redundant DG Cap. </t>
  </si>
  <si>
    <t>Total Installed Capacity</t>
  </si>
  <si>
    <t>Running Capacity</t>
  </si>
  <si>
    <t xml:space="preserve">DG Load on Running Cap. </t>
  </si>
  <si>
    <t xml:space="preserve">PUE </t>
  </si>
  <si>
    <t xml:space="preserve">Paltan DC </t>
  </si>
  <si>
    <t>Dhanmondi DC</t>
  </si>
  <si>
    <t xml:space="preserve">CTG_South </t>
  </si>
  <si>
    <t xml:space="preserve">CTG_North </t>
  </si>
  <si>
    <t xml:space="preserve">Benapole DC </t>
  </si>
  <si>
    <t>Bogura DC</t>
  </si>
  <si>
    <t>Sylhet DC</t>
  </si>
  <si>
    <t>Mymensingh DC</t>
  </si>
  <si>
    <t>Kawranbazar DC</t>
  </si>
  <si>
    <t xml:space="preserve">Uttara DC </t>
  </si>
  <si>
    <t>Jashore DC</t>
  </si>
  <si>
    <t>Kaliakoir DC</t>
  </si>
  <si>
    <t>Paltan_1</t>
  </si>
  <si>
    <t>Benapole_2</t>
  </si>
  <si>
    <t>N/A</t>
  </si>
  <si>
    <t xml:space="preserve">Battery Backup hrs.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</si>
</sst>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&quot;KW&quot;"/>
    <numFmt numFmtId="165" formatCode="#.0\ &quot;KW&quot;"/>
    <numFmt numFmtId="166" formatCode="#\ &quot;Hrs.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1" applyFon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right" vertical="center"/>
    </xf>
    <xf numFmtId="9" fontId="0" fillId="0" borderId="3" xfId="1" applyFont="1" applyBorder="1" applyAlignment="1">
      <alignment horizontal="right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ffice%20new%20file/Project%20File/Data%20center%20analysis/Data_Center%20Analysis%20_Report/Datacenter%20Analysis%20Tracker_09-Nov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Center Analysis"/>
      <sheetName val="Cooling Analysis"/>
      <sheetName val="Sanction Load"/>
      <sheetName val="Generator Capacity"/>
      <sheetName val="Rectifier &amp; Battery Load"/>
      <sheetName val="Rectifier"/>
      <sheetName val="UPS &amp; Inverter"/>
      <sheetName val="Paltan DC Electrical Equipment "/>
    </sheetNames>
    <sheetDataSet>
      <sheetData sheetId="0">
        <row r="3">
          <cell r="B3" t="str">
            <v xml:space="preserve">Uttara DC </v>
          </cell>
          <cell r="C3" t="str">
            <v>DC</v>
          </cell>
          <cell r="D3">
            <v>320</v>
          </cell>
          <cell r="E3">
            <v>420</v>
          </cell>
          <cell r="F3">
            <v>0</v>
          </cell>
          <cell r="G3">
            <v>0</v>
          </cell>
          <cell r="H3"/>
          <cell r="I3">
            <v>0</v>
          </cell>
          <cell r="J3">
            <v>740</v>
          </cell>
          <cell r="K3">
            <v>39.515999999999998</v>
          </cell>
          <cell r="L3">
            <v>44.515999999999998</v>
          </cell>
          <cell r="M3"/>
          <cell r="N3">
            <v>5</v>
          </cell>
          <cell r="O3">
            <v>46.5</v>
          </cell>
          <cell r="P3">
            <v>3</v>
          </cell>
          <cell r="Q3">
            <v>32.04</v>
          </cell>
          <cell r="R3">
            <v>126.05599999999998</v>
          </cell>
          <cell r="S3">
            <v>87</v>
          </cell>
          <cell r="T3">
            <v>120</v>
          </cell>
          <cell r="U3">
            <v>1.0504666666666664</v>
          </cell>
          <cell r="V3">
            <v>0.72499999999999998</v>
          </cell>
          <cell r="W3">
            <v>150</v>
          </cell>
          <cell r="X3">
            <v>120</v>
          </cell>
          <cell r="Y3">
            <v>87</v>
          </cell>
        </row>
        <row r="4">
          <cell r="B4" t="str">
            <v>Kawranbazar DC</v>
          </cell>
          <cell r="C4" t="str">
            <v>DC</v>
          </cell>
          <cell r="D4">
            <v>280</v>
          </cell>
          <cell r="E4">
            <v>280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560</v>
          </cell>
          <cell r="K4">
            <v>29.903999999999996</v>
          </cell>
          <cell r="L4">
            <v>36.903999999999996</v>
          </cell>
          <cell r="M4">
            <v>0</v>
          </cell>
          <cell r="N4">
            <v>7</v>
          </cell>
          <cell r="O4">
            <v>40.799999999999997</v>
          </cell>
          <cell r="P4">
            <v>2</v>
          </cell>
          <cell r="Q4">
            <v>29.04</v>
          </cell>
          <cell r="R4">
            <v>108.744</v>
          </cell>
          <cell r="S4">
            <v>91</v>
          </cell>
          <cell r="T4">
            <v>200</v>
          </cell>
          <cell r="U4">
            <v>0.54371999999999998</v>
          </cell>
          <cell r="V4">
            <v>0.45500000000000002</v>
          </cell>
          <cell r="W4">
            <v>200</v>
          </cell>
          <cell r="X4">
            <v>160</v>
          </cell>
          <cell r="Y4">
            <v>91</v>
          </cell>
        </row>
        <row r="5">
          <cell r="B5" t="str">
            <v>Sylhet DC</v>
          </cell>
          <cell r="C5" t="str">
            <v>DC</v>
          </cell>
          <cell r="D5">
            <v>165</v>
          </cell>
          <cell r="E5">
            <v>172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337</v>
          </cell>
          <cell r="K5">
            <v>17.995799999999999</v>
          </cell>
          <cell r="L5">
            <v>21.995799999999999</v>
          </cell>
          <cell r="M5">
            <v>0</v>
          </cell>
          <cell r="N5">
            <v>4</v>
          </cell>
          <cell r="O5">
            <v>31</v>
          </cell>
          <cell r="P5">
            <v>3</v>
          </cell>
          <cell r="Q5">
            <v>17.088000000000001</v>
          </cell>
          <cell r="R5">
            <v>73.083799999999997</v>
          </cell>
          <cell r="S5">
            <v>65</v>
          </cell>
          <cell r="T5">
            <v>84</v>
          </cell>
          <cell r="U5">
            <v>0.87004523809523804</v>
          </cell>
          <cell r="V5">
            <v>0.77380952380952384</v>
          </cell>
          <cell r="W5">
            <v>100</v>
          </cell>
          <cell r="X5">
            <v>80</v>
          </cell>
          <cell r="Y5">
            <v>65</v>
          </cell>
        </row>
        <row r="6">
          <cell r="B6" t="str">
            <v>Jashore DC</v>
          </cell>
          <cell r="C6" t="str">
            <v>DC</v>
          </cell>
          <cell r="D6">
            <v>385</v>
          </cell>
          <cell r="E6">
            <v>335</v>
          </cell>
          <cell r="F6">
            <v>0</v>
          </cell>
          <cell r="G6">
            <v>0</v>
          </cell>
          <cell r="H6">
            <v>1.2999999999999998</v>
          </cell>
          <cell r="I6">
            <v>5.4989999999999997</v>
          </cell>
          <cell r="J6">
            <v>725.49900000000002</v>
          </cell>
          <cell r="K6">
            <v>38.448</v>
          </cell>
          <cell r="L6">
            <v>38.734000000000002</v>
          </cell>
          <cell r="M6">
            <v>0.28599999999999992</v>
          </cell>
          <cell r="N6">
            <v>0</v>
          </cell>
          <cell r="O6">
            <v>26.4</v>
          </cell>
          <cell r="P6">
            <v>2.0699999999999998</v>
          </cell>
          <cell r="Q6">
            <v>39.11</v>
          </cell>
          <cell r="R6">
            <v>106.31399999999999</v>
          </cell>
          <cell r="S6">
            <v>90</v>
          </cell>
          <cell r="T6">
            <v>250</v>
          </cell>
          <cell r="U6">
            <v>0.42525599999999997</v>
          </cell>
          <cell r="V6">
            <v>0.36</v>
          </cell>
          <cell r="W6">
            <v>1000</v>
          </cell>
          <cell r="X6">
            <v>720</v>
          </cell>
          <cell r="Y6">
            <v>90</v>
          </cell>
        </row>
        <row r="7">
          <cell r="B7" t="str">
            <v>Bogura DC</v>
          </cell>
          <cell r="C7" t="str">
            <v>DC</v>
          </cell>
          <cell r="D7">
            <v>316</v>
          </cell>
          <cell r="E7">
            <v>234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550</v>
          </cell>
          <cell r="K7">
            <v>51.370000000000005</v>
          </cell>
          <cell r="L7">
            <v>32.079872000000002</v>
          </cell>
          <cell r="M7">
            <v>0</v>
          </cell>
          <cell r="N7">
            <v>2.7098720000000003</v>
          </cell>
          <cell r="O7">
            <v>18</v>
          </cell>
          <cell r="P7">
            <v>1.5</v>
          </cell>
          <cell r="Q7">
            <v>23.7</v>
          </cell>
          <cell r="R7">
            <v>75.279871999999997</v>
          </cell>
          <cell r="S7">
            <v>72</v>
          </cell>
          <cell r="T7">
            <v>100</v>
          </cell>
          <cell r="U7">
            <v>0.75279871999999992</v>
          </cell>
          <cell r="V7">
            <v>0.72</v>
          </cell>
          <cell r="W7">
            <v>100</v>
          </cell>
          <cell r="X7">
            <v>80</v>
          </cell>
          <cell r="Y7">
            <v>72</v>
          </cell>
        </row>
        <row r="8">
          <cell r="B8" t="str">
            <v>GEC</v>
          </cell>
          <cell r="C8" t="str">
            <v>DC</v>
          </cell>
          <cell r="D8">
            <v>233</v>
          </cell>
          <cell r="E8">
            <v>252</v>
          </cell>
          <cell r="F8">
            <v>0</v>
          </cell>
          <cell r="G8">
            <v>0</v>
          </cell>
          <cell r="H8"/>
          <cell r="I8"/>
          <cell r="J8">
            <v>485</v>
          </cell>
          <cell r="K8">
            <v>25.899000000000001</v>
          </cell>
          <cell r="L8">
            <v>30.699000000000002</v>
          </cell>
          <cell r="M8">
            <v>0</v>
          </cell>
          <cell r="N8">
            <v>4.8</v>
          </cell>
          <cell r="O8">
            <v>18</v>
          </cell>
          <cell r="P8">
            <v>7</v>
          </cell>
          <cell r="Q8">
            <v>23.7</v>
          </cell>
          <cell r="R8">
            <v>79.399000000000001</v>
          </cell>
          <cell r="S8">
            <v>76</v>
          </cell>
          <cell r="T8">
            <v>150</v>
          </cell>
          <cell r="U8">
            <v>0.52932666666666672</v>
          </cell>
          <cell r="V8">
            <v>0.50666666666666671</v>
          </cell>
          <cell r="W8">
            <v>250</v>
          </cell>
          <cell r="X8">
            <v>200</v>
          </cell>
          <cell r="Y8">
            <v>76</v>
          </cell>
        </row>
        <row r="9">
          <cell r="B9" t="str">
            <v>Dhanmondi DC</v>
          </cell>
          <cell r="C9" t="str">
            <v>DC</v>
          </cell>
          <cell r="D9">
            <v>82</v>
          </cell>
          <cell r="E9">
            <v>37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119</v>
          </cell>
          <cell r="K9">
            <v>6.3545999999999996</v>
          </cell>
          <cell r="L9">
            <v>9.3545999999999996</v>
          </cell>
          <cell r="M9">
            <v>0</v>
          </cell>
          <cell r="N9">
            <v>3</v>
          </cell>
          <cell r="O9">
            <v>12.599999999999998</v>
          </cell>
          <cell r="P9">
            <v>4</v>
          </cell>
          <cell r="Q9">
            <v>11.952</v>
          </cell>
          <cell r="R9">
            <v>37.906599999999997</v>
          </cell>
          <cell r="S9">
            <v>28</v>
          </cell>
          <cell r="T9">
            <v>50</v>
          </cell>
          <cell r="U9">
            <v>0.75813199999999992</v>
          </cell>
          <cell r="V9">
            <v>0.56000000000000005</v>
          </cell>
          <cell r="W9">
            <v>60</v>
          </cell>
          <cell r="X9">
            <v>48</v>
          </cell>
          <cell r="Y9">
            <v>28</v>
          </cell>
        </row>
        <row r="10">
          <cell r="B10" t="str">
            <v>Aktaruzzaman DC</v>
          </cell>
          <cell r="C10" t="str">
            <v>DC</v>
          </cell>
          <cell r="D10">
            <v>199</v>
          </cell>
          <cell r="E10">
            <v>202</v>
          </cell>
          <cell r="F10">
            <v>0</v>
          </cell>
          <cell r="G10">
            <v>0</v>
          </cell>
          <cell r="H10">
            <v>1</v>
          </cell>
          <cell r="I10">
            <v>4.2300000000000004</v>
          </cell>
          <cell r="J10">
            <v>405.23</v>
          </cell>
          <cell r="K10">
            <v>21.413399999999999</v>
          </cell>
          <cell r="L10">
            <v>23.633399999999998</v>
          </cell>
          <cell r="M10">
            <v>0.22</v>
          </cell>
          <cell r="N10">
            <v>2</v>
          </cell>
          <cell r="O10">
            <v>19.799999999999997</v>
          </cell>
          <cell r="P10">
            <v>5</v>
          </cell>
          <cell r="Q10">
            <v>16.02</v>
          </cell>
          <cell r="R10">
            <v>64.453399999999988</v>
          </cell>
          <cell r="S10">
            <v>62</v>
          </cell>
          <cell r="T10">
            <v>50</v>
          </cell>
          <cell r="U10">
            <v>1.2890679999999997</v>
          </cell>
          <cell r="V10">
            <v>1.24</v>
          </cell>
          <cell r="W10">
            <v>100</v>
          </cell>
          <cell r="X10">
            <v>80</v>
          </cell>
          <cell r="Y10">
            <v>62</v>
          </cell>
        </row>
        <row r="11">
          <cell r="B11" t="str">
            <v>Benapole DC</v>
          </cell>
          <cell r="C11" t="str">
            <v>DC</v>
          </cell>
          <cell r="D11">
            <v>159</v>
          </cell>
          <cell r="E11">
            <v>125</v>
          </cell>
          <cell r="F11">
            <v>34.5</v>
          </cell>
          <cell r="G11">
            <v>44</v>
          </cell>
          <cell r="H11">
            <v>0.6</v>
          </cell>
          <cell r="I11">
            <v>2.5380000000000003</v>
          </cell>
          <cell r="J11">
            <v>365.03800000000001</v>
          </cell>
          <cell r="K11">
            <v>19.357500000000002</v>
          </cell>
          <cell r="L11">
            <v>19.495500000000003</v>
          </cell>
          <cell r="M11">
            <v>0.13800000000000001</v>
          </cell>
          <cell r="N11">
            <v>0</v>
          </cell>
          <cell r="O11">
            <v>9.6</v>
          </cell>
          <cell r="P11">
            <v>1.76</v>
          </cell>
          <cell r="Q11">
            <v>16.02</v>
          </cell>
          <cell r="R11">
            <v>46.875500000000002</v>
          </cell>
          <cell r="S11">
            <v>42</v>
          </cell>
          <cell r="T11">
            <v>47</v>
          </cell>
          <cell r="U11">
            <v>0.99735106382978733</v>
          </cell>
          <cell r="V11">
            <v>0.8936170212765957</v>
          </cell>
          <cell r="W11">
            <v>150</v>
          </cell>
          <cell r="X11">
            <v>96</v>
          </cell>
          <cell r="Y11">
            <v>42</v>
          </cell>
        </row>
        <row r="12">
          <cell r="B12" t="str">
            <v>Paltan</v>
          </cell>
          <cell r="C12" t="str">
            <v>DC</v>
          </cell>
          <cell r="D12">
            <v>432.6</v>
          </cell>
          <cell r="E12">
            <v>466</v>
          </cell>
          <cell r="F12">
            <v>568</v>
          </cell>
          <cell r="G12">
            <v>440</v>
          </cell>
          <cell r="H12">
            <v>0</v>
          </cell>
          <cell r="I12">
            <v>0</v>
          </cell>
          <cell r="J12">
            <v>1906.6</v>
          </cell>
          <cell r="K12">
            <v>101.81243999999998</v>
          </cell>
          <cell r="L12">
            <v>117.81243999999998</v>
          </cell>
          <cell r="M12">
            <v>0</v>
          </cell>
          <cell r="N12">
            <v>16</v>
          </cell>
          <cell r="O12">
            <v>53</v>
          </cell>
          <cell r="P12">
            <v>4</v>
          </cell>
          <cell r="Q12">
            <v>31.38</v>
          </cell>
          <cell r="R12">
            <v>206.19243999999998</v>
          </cell>
          <cell r="S12">
            <v>209</v>
          </cell>
          <cell r="T12">
            <v>200</v>
          </cell>
          <cell r="U12">
            <v>1.0309621999999998</v>
          </cell>
          <cell r="V12">
            <v>1.0449999999999999</v>
          </cell>
          <cell r="W12" t="str">
            <v>250+250</v>
          </cell>
          <cell r="X12">
            <v>320</v>
          </cell>
          <cell r="Y12">
            <v>209</v>
          </cell>
        </row>
        <row r="13">
          <cell r="B13" t="str">
            <v>Paltan Cooling</v>
          </cell>
          <cell r="C13" t="str">
            <v>DC</v>
          </cell>
          <cell r="D13">
            <v>0</v>
          </cell>
          <cell r="E13">
            <v>0</v>
          </cell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53</v>
          </cell>
          <cell r="P13">
            <v>0</v>
          </cell>
          <cell r="Q13">
            <v>0</v>
          </cell>
          <cell r="R13">
            <v>53</v>
          </cell>
          <cell r="S13"/>
          <cell r="T13">
            <v>0</v>
          </cell>
          <cell r="U13" t="e">
            <v>#DIV/0!</v>
          </cell>
          <cell r="V13" t="e">
            <v>#DIV/0!</v>
          </cell>
          <cell r="W13" t="str">
            <v>100+100</v>
          </cell>
          <cell r="X13">
            <v>160</v>
          </cell>
          <cell r="Y13">
            <v>0</v>
          </cell>
        </row>
        <row r="14">
          <cell r="B14" t="str">
            <v>Mymensingh DC</v>
          </cell>
          <cell r="C14" t="str">
            <v>DC</v>
          </cell>
          <cell r="D14">
            <v>84.2</v>
          </cell>
          <cell r="E14">
            <v>90.1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174.3</v>
          </cell>
          <cell r="K14">
            <v>9.30762</v>
          </cell>
          <cell r="L14">
            <v>12.007619999999999</v>
          </cell>
          <cell r="M14">
            <v>0</v>
          </cell>
          <cell r="N14">
            <v>2.7</v>
          </cell>
          <cell r="O14">
            <v>10.799999999999999</v>
          </cell>
          <cell r="P14">
            <v>2</v>
          </cell>
          <cell r="Q14">
            <v>13.02</v>
          </cell>
          <cell r="R14">
            <v>37.827619999999996</v>
          </cell>
          <cell r="S14">
            <v>24</v>
          </cell>
          <cell r="T14">
            <v>40</v>
          </cell>
          <cell r="U14">
            <v>0.94569049999999988</v>
          </cell>
          <cell r="V14">
            <v>0.6</v>
          </cell>
          <cell r="W14">
            <v>100</v>
          </cell>
          <cell r="X14">
            <v>80</v>
          </cell>
          <cell r="Y14">
            <v>24</v>
          </cell>
        </row>
        <row r="15">
          <cell r="B15" t="str">
            <v>Kalikoir DC</v>
          </cell>
          <cell r="C15" t="str">
            <v>DC</v>
          </cell>
          <cell r="D15">
            <v>125</v>
          </cell>
          <cell r="E15">
            <v>125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250</v>
          </cell>
          <cell r="K15">
            <v>13.350000000000001</v>
          </cell>
          <cell r="L15">
            <v>33.35</v>
          </cell>
          <cell r="M15">
            <v>0</v>
          </cell>
          <cell r="N15">
            <v>20</v>
          </cell>
          <cell r="O15">
            <v>26.4</v>
          </cell>
          <cell r="P15">
            <v>2</v>
          </cell>
          <cell r="Q15">
            <v>23.7</v>
          </cell>
          <cell r="R15">
            <v>85.45</v>
          </cell>
          <cell r="S15">
            <v>55</v>
          </cell>
          <cell r="T15">
            <v>100</v>
          </cell>
          <cell r="U15">
            <v>0.85450000000000004</v>
          </cell>
          <cell r="V15">
            <v>0.55000000000000004</v>
          </cell>
          <cell r="W15">
            <v>250</v>
          </cell>
          <cell r="X15">
            <v>160</v>
          </cell>
          <cell r="Y15">
            <v>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CBB3-D768-46B9-A7BC-9EE7F5F7E9E6}">
  <dimension ref="A1:AC16"/>
  <sheetViews>
    <sheetView tabSelected="1" zoomScale="104" workbookViewId="0">
      <pane xSplit="1" topLeftCell="S1" activePane="topRight" state="frozen"/>
      <selection pane="topRight" activeCell="AC2" sqref="AC2"/>
    </sheetView>
  </sheetViews>
  <sheetFormatPr defaultRowHeight="14.4" x14ac:dyDescent="0.3"/>
  <cols>
    <col min="1" max="2" width="18.5546875" bestFit="1" customWidth="1"/>
    <col min="3" max="3" width="21" bestFit="1" customWidth="1"/>
    <col min="4" max="4" width="18.44140625" bestFit="1" customWidth="1"/>
    <col min="5" max="5" width="21.88671875" bestFit="1" customWidth="1"/>
    <col min="6" max="6" width="12" bestFit="1" customWidth="1"/>
    <col min="7" max="8" width="22.109375" customWidth="1"/>
    <col min="9" max="9" width="24.6640625" bestFit="1" customWidth="1"/>
    <col min="10" max="15" width="22.109375" customWidth="1"/>
    <col min="16" max="16" width="29.109375" bestFit="1" customWidth="1"/>
    <col min="17" max="17" width="34.33203125" bestFit="1" customWidth="1"/>
    <col min="18" max="18" width="28.5546875" bestFit="1" customWidth="1"/>
    <col min="19" max="19" width="13.33203125" bestFit="1" customWidth="1"/>
    <col min="20" max="20" width="11.88671875" bestFit="1" customWidth="1"/>
    <col min="21" max="21" width="20.88671875" bestFit="1" customWidth="1"/>
    <col min="22" max="22" width="15.77734375" bestFit="1" customWidth="1"/>
    <col min="23" max="23" width="12.88671875" bestFit="1" customWidth="1"/>
    <col min="24" max="24" width="13.44140625" bestFit="1" customWidth="1"/>
    <col min="25" max="25" width="18.109375" bestFit="1" customWidth="1"/>
    <col min="26" max="26" width="23.109375" bestFit="1" customWidth="1"/>
    <col min="27" max="27" width="18.109375" bestFit="1" customWidth="1"/>
    <col min="28" max="28" width="4.88671875" bestFit="1" customWidth="1"/>
  </cols>
  <sheetData>
    <row r="1" spans="1:29" x14ac:dyDescent="0.3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17</v>
      </c>
      <c r="Q1" s="1" t="s">
        <v>18</v>
      </c>
      <c r="R1" s="1" t="s">
        <v>19</v>
      </c>
      <c r="S1" s="1" t="s">
        <v>12</v>
      </c>
      <c r="T1" s="1" t="s">
        <v>13</v>
      </c>
      <c r="U1" s="1" t="s">
        <v>23</v>
      </c>
      <c r="V1" s="1" t="s">
        <v>24</v>
      </c>
      <c r="W1" s="1" t="s">
        <v>20</v>
      </c>
      <c r="X1" s="1" t="s">
        <v>21</v>
      </c>
      <c r="Y1" s="1" t="s">
        <v>22</v>
      </c>
      <c r="Z1" s="1" t="s">
        <v>25</v>
      </c>
      <c r="AA1" s="1" t="s">
        <v>42</v>
      </c>
      <c r="AB1" s="9" t="s">
        <v>26</v>
      </c>
    </row>
    <row r="2" spans="1:29" x14ac:dyDescent="0.3">
      <c r="A2" s="8" t="s">
        <v>36</v>
      </c>
      <c r="B2" s="3">
        <v>120</v>
      </c>
      <c r="C2" s="3">
        <v>120</v>
      </c>
      <c r="D2" s="3">
        <f>320/20</f>
        <v>16</v>
      </c>
      <c r="E2" s="3">
        <f>420/20</f>
        <v>21</v>
      </c>
      <c r="F2" s="3">
        <f>D2+E2</f>
        <v>37</v>
      </c>
      <c r="G2" s="3">
        <f>(1500*0.1/20)</f>
        <v>7.5</v>
      </c>
      <c r="H2" s="3">
        <f>(1500*0.1/20)</f>
        <v>7.5</v>
      </c>
      <c r="I2" s="3">
        <f>G2+H2</f>
        <v>15</v>
      </c>
      <c r="J2" s="4">
        <f>((F2+G2)/C2)</f>
        <v>0.37083333333333335</v>
      </c>
      <c r="K2" s="3">
        <f>40*0.8</f>
        <v>32</v>
      </c>
      <c r="L2" s="3">
        <f>40*0.8</f>
        <v>32</v>
      </c>
      <c r="M2" s="3">
        <v>2.5</v>
      </c>
      <c r="N2" s="3">
        <v>2.5</v>
      </c>
      <c r="O2" s="3">
        <f>SUM(M2:N2)</f>
        <v>5</v>
      </c>
      <c r="P2" s="3">
        <v>3.5</v>
      </c>
      <c r="Q2" s="3">
        <v>3.5</v>
      </c>
      <c r="R2" s="3">
        <f>SUM(P2:Q2)</f>
        <v>7</v>
      </c>
      <c r="S2" s="6">
        <f>(P2+O2)/K2</f>
        <v>0.265625</v>
      </c>
      <c r="T2" s="3">
        <f>(10+4.5*3+5*2+2*2+4.5*2)</f>
        <v>46.5</v>
      </c>
      <c r="U2" s="3">
        <f>T2+R2+O2+I2+F2+15+3</f>
        <v>128.5</v>
      </c>
      <c r="V2" s="3">
        <v>87</v>
      </c>
      <c r="W2" s="3">
        <f>VLOOKUP(A2,'[1]Data Center Analysis'!$B$3:$T$15,19,0)</f>
        <v>120</v>
      </c>
      <c r="X2" s="3">
        <f>150*0.8</f>
        <v>120</v>
      </c>
      <c r="Y2" s="3">
        <f>250*0.8</f>
        <v>200</v>
      </c>
      <c r="Z2" s="3">
        <f>VLOOKUP(A2,'[1]Data Center Analysis'!$B$3:$Y$15,24,0)</f>
        <v>87</v>
      </c>
      <c r="AA2" s="11">
        <f>(3000*0.7)*48/(F2*1000)</f>
        <v>2.7243243243243245</v>
      </c>
      <c r="AB2" s="7">
        <f>V2/(F2+O2)</f>
        <v>2.0714285714285716</v>
      </c>
      <c r="AC2" s="22">
        <f>Z2/X2</f>
        <v>0.72499999999999998</v>
      </c>
    </row>
    <row r="3" spans="1:29" x14ac:dyDescent="0.3">
      <c r="A3" s="2" t="s">
        <v>35</v>
      </c>
      <c r="B3" s="3">
        <v>72</v>
      </c>
      <c r="C3" s="3">
        <v>72</v>
      </c>
      <c r="D3" s="3">
        <v>14</v>
      </c>
      <c r="E3" s="3">
        <v>14</v>
      </c>
      <c r="F3" s="3">
        <f t="shared" ref="F3:F15" si="0">D3+E3</f>
        <v>28</v>
      </c>
      <c r="G3" s="3">
        <f>(2000*0.2/20)</f>
        <v>20</v>
      </c>
      <c r="H3" s="3">
        <f>(2000*0.2/20)</f>
        <v>20</v>
      </c>
      <c r="I3" s="3">
        <f t="shared" ref="I3:I15" si="1">G3+H3</f>
        <v>40</v>
      </c>
      <c r="J3" s="4">
        <f t="shared" ref="J3:J15" si="2">((F3+G3)/C3)</f>
        <v>0.66666666666666663</v>
      </c>
      <c r="K3" s="3">
        <f>40*0.8</f>
        <v>32</v>
      </c>
      <c r="L3" s="3">
        <f>40*0.8</f>
        <v>32</v>
      </c>
      <c r="M3" s="3">
        <v>4</v>
      </c>
      <c r="N3" s="3">
        <v>4</v>
      </c>
      <c r="O3" s="3">
        <f t="shared" ref="O3:O15" si="3">SUM(M3:N3)</f>
        <v>8</v>
      </c>
      <c r="P3" s="5">
        <f>((40*12)*0.1*100)/1000</f>
        <v>4.8</v>
      </c>
      <c r="Q3" s="5">
        <f>((40*12)*0.1*100)/1000</f>
        <v>4.8</v>
      </c>
      <c r="R3" s="3">
        <f>SUM(P3:Q3)</f>
        <v>9.6</v>
      </c>
      <c r="S3" s="6">
        <f>(P3+O3)/K3</f>
        <v>0.4</v>
      </c>
      <c r="T3" s="3">
        <f>(4.5*6*1.2)+(2*1.2)+5*1.2</f>
        <v>40.799999999999997</v>
      </c>
      <c r="U3" s="3">
        <f>T3+R3+O3+I3+F3+15+3</f>
        <v>144.4</v>
      </c>
      <c r="V3" s="3">
        <v>91</v>
      </c>
      <c r="W3" s="3">
        <f>VLOOKUP(A3,'[1]Data Center Analysis'!$B$3:$T$15,19,0)</f>
        <v>200</v>
      </c>
      <c r="X3" s="3">
        <f>200*0.8</f>
        <v>160</v>
      </c>
      <c r="Y3" s="3">
        <f>400*0.8</f>
        <v>320</v>
      </c>
      <c r="Z3" s="3">
        <f>VLOOKUP(A3,'[1]Data Center Analysis'!$B$3:$Y$15,24,0)</f>
        <v>91</v>
      </c>
      <c r="AA3" s="11">
        <f>(2000*0.8)*48/(F3*1000)</f>
        <v>2.7428571428571429</v>
      </c>
      <c r="AB3" s="7">
        <f>V3/(F3+O3)</f>
        <v>2.5277777777777777</v>
      </c>
    </row>
    <row r="4" spans="1:29" x14ac:dyDescent="0.3">
      <c r="A4" s="10" t="s">
        <v>27</v>
      </c>
      <c r="B4" s="3">
        <v>120</v>
      </c>
      <c r="C4" s="3">
        <v>120</v>
      </c>
      <c r="D4" s="3">
        <v>28.4</v>
      </c>
      <c r="E4" s="3">
        <v>22</v>
      </c>
      <c r="F4" s="3">
        <f t="shared" si="0"/>
        <v>50.4</v>
      </c>
      <c r="G4" s="3">
        <f>(1200*0.2/20)</f>
        <v>12</v>
      </c>
      <c r="H4" s="3">
        <f>(1200*0.2/20)</f>
        <v>12</v>
      </c>
      <c r="I4" s="3">
        <f t="shared" si="1"/>
        <v>24</v>
      </c>
      <c r="J4" s="4">
        <f t="shared" si="2"/>
        <v>0.52</v>
      </c>
      <c r="K4" s="14">
        <v>50</v>
      </c>
      <c r="L4" s="14">
        <v>50</v>
      </c>
      <c r="M4" s="14">
        <v>8</v>
      </c>
      <c r="N4" s="14">
        <v>8</v>
      </c>
      <c r="O4" s="14">
        <f t="shared" si="3"/>
        <v>16</v>
      </c>
      <c r="P4" s="12">
        <f>(40*12*200*0.1)/1000</f>
        <v>9.6</v>
      </c>
      <c r="Q4" s="12">
        <f>(40*12*200*0.1)/1000</f>
        <v>9.6</v>
      </c>
      <c r="R4" s="12">
        <f t="shared" ref="R4" si="4">SUM(P4:Q4)</f>
        <v>19.2</v>
      </c>
      <c r="S4" s="18">
        <f>(Q4+O4)/K4</f>
        <v>0.51200000000000001</v>
      </c>
      <c r="T4" s="12">
        <v>53</v>
      </c>
      <c r="U4" s="3">
        <f t="shared" ref="U4:U15" si="5">T4+R4+O4+I4+F4+15+3</f>
        <v>180.6</v>
      </c>
      <c r="V4" s="12">
        <v>210</v>
      </c>
      <c r="W4" s="12">
        <v>200</v>
      </c>
      <c r="X4" s="3">
        <f>500*0.8</f>
        <v>400</v>
      </c>
      <c r="Y4" s="3">
        <f>500*0.8</f>
        <v>400</v>
      </c>
      <c r="Z4" s="12">
        <v>209</v>
      </c>
      <c r="AA4" s="11">
        <f>(1200*0.8)*48/(F4*1000)</f>
        <v>0.91428571428571426</v>
      </c>
      <c r="AB4" s="20">
        <f>V4/(F4+O4)</f>
        <v>3.1626506024096384</v>
      </c>
    </row>
    <row r="5" spans="1:29" x14ac:dyDescent="0.3">
      <c r="A5" s="10" t="s">
        <v>39</v>
      </c>
      <c r="B5" s="3">
        <v>72</v>
      </c>
      <c r="C5" s="3">
        <v>72</v>
      </c>
      <c r="D5" s="3">
        <v>21.65</v>
      </c>
      <c r="E5" s="3">
        <v>23.3</v>
      </c>
      <c r="F5" s="3">
        <f t="shared" si="0"/>
        <v>44.95</v>
      </c>
      <c r="G5" s="3">
        <f>(2000*0.1/20)</f>
        <v>10</v>
      </c>
      <c r="H5" s="3">
        <f>(2000*0.1/20)</f>
        <v>10</v>
      </c>
      <c r="I5" s="3">
        <f t="shared" si="1"/>
        <v>20</v>
      </c>
      <c r="J5" s="4">
        <f t="shared" si="2"/>
        <v>0.76319444444444451</v>
      </c>
      <c r="K5" s="14"/>
      <c r="L5" s="14"/>
      <c r="M5" s="14"/>
      <c r="N5" s="14"/>
      <c r="O5" s="14"/>
      <c r="P5" s="13"/>
      <c r="Q5" s="13"/>
      <c r="R5" s="13"/>
      <c r="S5" s="19"/>
      <c r="T5" s="13"/>
      <c r="U5" s="3">
        <f t="shared" si="5"/>
        <v>82.95</v>
      </c>
      <c r="V5" s="13"/>
      <c r="W5" s="13"/>
      <c r="X5" s="3" t="s">
        <v>41</v>
      </c>
      <c r="Y5" s="3" t="s">
        <v>41</v>
      </c>
      <c r="Z5" s="13"/>
      <c r="AA5" s="11">
        <f>(1500*0.6)*48/(F5*1000)</f>
        <v>0.96106785317018906</v>
      </c>
      <c r="AB5" s="21"/>
    </row>
    <row r="6" spans="1:29" x14ac:dyDescent="0.3">
      <c r="A6" s="2" t="s">
        <v>38</v>
      </c>
      <c r="B6" s="3">
        <v>72</v>
      </c>
      <c r="C6" s="3">
        <v>72</v>
      </c>
      <c r="D6" s="3">
        <v>6.25</v>
      </c>
      <c r="E6" s="3">
        <v>6.25</v>
      </c>
      <c r="F6" s="3">
        <f t="shared" si="0"/>
        <v>12.5</v>
      </c>
      <c r="G6" s="3">
        <f t="shared" ref="G6:H12" si="6">(1500*0.1/20)</f>
        <v>7.5</v>
      </c>
      <c r="H6" s="3">
        <f t="shared" si="6"/>
        <v>7.5</v>
      </c>
      <c r="I6" s="3">
        <f t="shared" si="1"/>
        <v>15</v>
      </c>
      <c r="J6" s="4">
        <f t="shared" si="2"/>
        <v>0.27777777777777779</v>
      </c>
      <c r="K6" s="3">
        <f t="shared" ref="K6:L6" si="7">60*0.8</f>
        <v>48</v>
      </c>
      <c r="L6" s="3">
        <f t="shared" si="7"/>
        <v>48</v>
      </c>
      <c r="M6" s="3">
        <v>10</v>
      </c>
      <c r="N6" s="3">
        <v>10</v>
      </c>
      <c r="O6" s="3">
        <f t="shared" si="3"/>
        <v>20</v>
      </c>
      <c r="P6" s="5">
        <f>((34*12)*0.1*100)/1000</f>
        <v>4.08</v>
      </c>
      <c r="Q6" s="5">
        <f>((34*12)*0.1*100)/1000</f>
        <v>4.08</v>
      </c>
      <c r="R6" s="3">
        <f>SUM(P6:Q6)</f>
        <v>8.16</v>
      </c>
      <c r="S6" s="6">
        <f>(P6+O6)/K6</f>
        <v>0.50166666666666659</v>
      </c>
      <c r="T6" s="3">
        <f>(4.5*3*1.2)+(4.5*1.2)+(4*1.2)</f>
        <v>26.4</v>
      </c>
      <c r="U6" s="3">
        <f t="shared" si="5"/>
        <v>100.06</v>
      </c>
      <c r="V6" s="3">
        <v>62</v>
      </c>
      <c r="W6" s="3">
        <v>100</v>
      </c>
      <c r="X6" s="3">
        <f>250*0.8</f>
        <v>200</v>
      </c>
      <c r="Y6" s="3">
        <f>100*0.8</f>
        <v>80</v>
      </c>
      <c r="Z6" s="3">
        <v>76</v>
      </c>
      <c r="AA6" s="11">
        <f>(1500*0.8)*48/(F6*1000)</f>
        <v>4.6079999999999997</v>
      </c>
      <c r="AB6" s="7">
        <f>V6/(F6+O6)</f>
        <v>1.9076923076923078</v>
      </c>
    </row>
    <row r="7" spans="1:29" x14ac:dyDescent="0.3">
      <c r="A7" s="2" t="s">
        <v>28</v>
      </c>
      <c r="B7" s="3">
        <v>24</v>
      </c>
      <c r="C7" s="3">
        <v>22</v>
      </c>
      <c r="D7" s="3">
        <f>82/20</f>
        <v>4.0999999999999996</v>
      </c>
      <c r="E7" s="3">
        <f>37/20</f>
        <v>1.85</v>
      </c>
      <c r="F7" s="3">
        <f t="shared" si="0"/>
        <v>5.9499999999999993</v>
      </c>
      <c r="G7" s="3">
        <f>(400*0.2/20)</f>
        <v>4</v>
      </c>
      <c r="H7" s="3">
        <f>(400*0.2/20)</f>
        <v>4</v>
      </c>
      <c r="I7" s="3">
        <f t="shared" si="1"/>
        <v>8</v>
      </c>
      <c r="J7" s="4">
        <f t="shared" si="2"/>
        <v>0.45227272727272722</v>
      </c>
      <c r="K7" s="3">
        <f>20*0.8</f>
        <v>16</v>
      </c>
      <c r="L7" s="3">
        <f>20*0.8</f>
        <v>16</v>
      </c>
      <c r="M7" s="3">
        <v>3</v>
      </c>
      <c r="N7" s="3">
        <v>3</v>
      </c>
      <c r="O7" s="3">
        <f t="shared" si="3"/>
        <v>6</v>
      </c>
      <c r="P7" s="5">
        <f>((32*12)*0.1*200)/1000</f>
        <v>7.6800000000000006</v>
      </c>
      <c r="Q7" s="5">
        <f>((32*12)*0.1*200)/1000</f>
        <v>7.6800000000000006</v>
      </c>
      <c r="R7" s="3">
        <f>SUM(P7:Q7)</f>
        <v>15.360000000000001</v>
      </c>
      <c r="S7" s="6">
        <f t="shared" ref="S7:S15" si="8">(P7+O7)/K7</f>
        <v>0.85499999999999998</v>
      </c>
      <c r="T7" s="3">
        <f>4.5*1.2+2*1.2+4*1.2</f>
        <v>12.599999999999998</v>
      </c>
      <c r="U7" s="3">
        <f t="shared" si="5"/>
        <v>65.91</v>
      </c>
      <c r="V7" s="3">
        <v>30</v>
      </c>
      <c r="W7" s="3">
        <f>VLOOKUP(A7,'[1]Data Center Analysis'!$B$3:$T$15,19,0)</f>
        <v>50</v>
      </c>
      <c r="X7" s="3">
        <f>60*0.8</f>
        <v>48</v>
      </c>
      <c r="Y7" s="3" t="s">
        <v>41</v>
      </c>
      <c r="Z7" s="3">
        <f>VLOOKUP(A7,'[1]Data Center Analysis'!$B$3:$Y$15,24,0)</f>
        <v>28</v>
      </c>
      <c r="AA7" s="11">
        <f>(400*0.8)*48/(F7*1000)</f>
        <v>2.5815126050420174</v>
      </c>
      <c r="AB7" s="7">
        <f>V7/(F7+O7)</f>
        <v>2.5104602510460254</v>
      </c>
    </row>
    <row r="8" spans="1:29" x14ac:dyDescent="0.3">
      <c r="A8" s="2" t="s">
        <v>32</v>
      </c>
      <c r="B8" s="3">
        <v>120</v>
      </c>
      <c r="C8" s="3">
        <v>120</v>
      </c>
      <c r="D8" s="3">
        <v>15.8</v>
      </c>
      <c r="E8" s="3">
        <v>11.7</v>
      </c>
      <c r="F8" s="3">
        <f t="shared" si="0"/>
        <v>27.5</v>
      </c>
      <c r="G8" s="3">
        <f>(1500*0.1/20)</f>
        <v>7.5</v>
      </c>
      <c r="H8" s="3">
        <f t="shared" si="6"/>
        <v>7.5</v>
      </c>
      <c r="I8" s="3">
        <f t="shared" si="1"/>
        <v>15</v>
      </c>
      <c r="J8" s="4">
        <f t="shared" si="2"/>
        <v>0.29166666666666669</v>
      </c>
      <c r="K8" s="3">
        <f>10*0.8</f>
        <v>8</v>
      </c>
      <c r="L8" s="3">
        <f>10*0.8</f>
        <v>8</v>
      </c>
      <c r="M8" s="3">
        <v>1</v>
      </c>
      <c r="N8" s="3">
        <v>1</v>
      </c>
      <c r="O8" s="3">
        <f t="shared" si="3"/>
        <v>2</v>
      </c>
      <c r="P8" s="5">
        <f>((32*12)*0.1*100)/1000</f>
        <v>3.8400000000000003</v>
      </c>
      <c r="Q8" s="5">
        <f>((32*12)*0.1*100)/1000</f>
        <v>3.8400000000000003</v>
      </c>
      <c r="R8" s="3">
        <f>SUM(P8:Q8)</f>
        <v>7.6800000000000006</v>
      </c>
      <c r="S8" s="6">
        <f>(P8+O8)/K8</f>
        <v>0.73</v>
      </c>
      <c r="T8" s="3">
        <f>2*1.2+4*1.2+9*1.2</f>
        <v>18</v>
      </c>
      <c r="U8" s="3">
        <f t="shared" si="5"/>
        <v>88.18</v>
      </c>
      <c r="V8" s="3">
        <v>68</v>
      </c>
      <c r="W8" s="3">
        <f>VLOOKUP(A8,'[1]Data Center Analysis'!$B$3:$T$15,19,0)</f>
        <v>100</v>
      </c>
      <c r="X8" s="3">
        <f>100*0.8</f>
        <v>80</v>
      </c>
      <c r="Y8" s="3">
        <f>100*0.8</f>
        <v>80</v>
      </c>
      <c r="Z8" s="3">
        <f>VLOOKUP(A8,'[1]Data Center Analysis'!$B$3:$Y$15,24,0)</f>
        <v>72</v>
      </c>
      <c r="AA8" s="11">
        <f>(1500*0.7)*48/(F8*1000)</f>
        <v>1.8327272727272728</v>
      </c>
      <c r="AB8" s="7">
        <f t="shared" ref="AB8:AB11" si="9">V8/(F8+O8)</f>
        <v>2.3050847457627119</v>
      </c>
    </row>
    <row r="9" spans="1:29" x14ac:dyDescent="0.3">
      <c r="A9" s="2" t="s">
        <v>29</v>
      </c>
      <c r="B9" s="3">
        <v>120</v>
      </c>
      <c r="C9" s="3">
        <v>120</v>
      </c>
      <c r="D9" s="3">
        <v>11.65</v>
      </c>
      <c r="E9" s="3">
        <v>12.6</v>
      </c>
      <c r="F9" s="3">
        <f t="shared" si="0"/>
        <v>24.25</v>
      </c>
      <c r="G9" s="3">
        <f t="shared" si="6"/>
        <v>7.5</v>
      </c>
      <c r="H9" s="3">
        <f t="shared" si="6"/>
        <v>7.5</v>
      </c>
      <c r="I9" s="3">
        <f t="shared" si="1"/>
        <v>15</v>
      </c>
      <c r="J9" s="4">
        <f t="shared" si="2"/>
        <v>0.26458333333333334</v>
      </c>
      <c r="K9" s="3">
        <f>20*0.8</f>
        <v>16</v>
      </c>
      <c r="L9" s="3">
        <f>20*0.8</f>
        <v>16</v>
      </c>
      <c r="M9" s="3">
        <v>2.5</v>
      </c>
      <c r="N9" s="3">
        <v>2.5</v>
      </c>
      <c r="O9" s="3">
        <f t="shared" si="3"/>
        <v>5</v>
      </c>
      <c r="P9" s="5">
        <f>((32*12)*0.1*100)/1000</f>
        <v>3.8400000000000003</v>
      </c>
      <c r="Q9" s="5">
        <f>((32*12)*0.1*100)/1000</f>
        <v>3.8400000000000003</v>
      </c>
      <c r="R9" s="3">
        <f t="shared" ref="R9:R15" si="10">SUM(P9:Q9)</f>
        <v>7.6800000000000006</v>
      </c>
      <c r="S9" s="6">
        <f t="shared" si="8"/>
        <v>0.55249999999999999</v>
      </c>
      <c r="T9" s="3">
        <f>15*1.2</f>
        <v>18</v>
      </c>
      <c r="U9" s="3">
        <f t="shared" si="5"/>
        <v>87.93</v>
      </c>
      <c r="V9" s="3">
        <v>62</v>
      </c>
      <c r="W9" s="3">
        <v>180</v>
      </c>
      <c r="X9" s="3">
        <f>250*0.8</f>
        <v>200</v>
      </c>
      <c r="Y9" s="3" t="s">
        <v>41</v>
      </c>
      <c r="Z9" s="3">
        <v>76</v>
      </c>
      <c r="AA9" s="11">
        <f>(1500*0.7)*48/(F9*1000)</f>
        <v>2.0783505154639177</v>
      </c>
      <c r="AB9" s="7">
        <f t="shared" si="9"/>
        <v>2.1196581196581197</v>
      </c>
    </row>
    <row r="10" spans="1:29" x14ac:dyDescent="0.3">
      <c r="A10" s="2" t="s">
        <v>30</v>
      </c>
      <c r="B10" s="3">
        <v>72</v>
      </c>
      <c r="C10" s="3">
        <v>72</v>
      </c>
      <c r="D10" s="3">
        <v>9.9499999999999993</v>
      </c>
      <c r="E10" s="3">
        <v>10.1</v>
      </c>
      <c r="F10" s="3">
        <f t="shared" si="0"/>
        <v>20.049999999999997</v>
      </c>
      <c r="G10" s="3">
        <f t="shared" si="6"/>
        <v>7.5</v>
      </c>
      <c r="H10" s="3">
        <f t="shared" si="6"/>
        <v>7.5</v>
      </c>
      <c r="I10" s="3">
        <f t="shared" si="1"/>
        <v>15</v>
      </c>
      <c r="J10" s="4">
        <f t="shared" si="2"/>
        <v>0.38263888888888886</v>
      </c>
      <c r="K10" s="5">
        <v>4.8</v>
      </c>
      <c r="L10" s="5">
        <v>4.8</v>
      </c>
      <c r="M10" s="3">
        <v>1</v>
      </c>
      <c r="N10" s="3">
        <v>1</v>
      </c>
      <c r="O10" s="3">
        <f t="shared" si="3"/>
        <v>2</v>
      </c>
      <c r="P10" s="3" t="s">
        <v>41</v>
      </c>
      <c r="Q10" s="3" t="s">
        <v>41</v>
      </c>
      <c r="R10" s="3">
        <f t="shared" si="10"/>
        <v>0</v>
      </c>
      <c r="S10" s="6">
        <v>0</v>
      </c>
      <c r="T10" s="3">
        <f>(2*1.2)+(4*1.2*2)+4.5*1.2+2*1.2</f>
        <v>19.799999999999997</v>
      </c>
      <c r="U10" s="3">
        <f t="shared" si="5"/>
        <v>74.849999999999994</v>
      </c>
      <c r="V10" s="3">
        <v>50</v>
      </c>
      <c r="W10" s="3">
        <v>45</v>
      </c>
      <c r="X10" s="3">
        <f>100*0.8</f>
        <v>80</v>
      </c>
      <c r="Y10" s="3" t="s">
        <v>41</v>
      </c>
      <c r="Z10" s="3">
        <v>62</v>
      </c>
      <c r="AA10" s="11">
        <f>(1500*0.7)*48/(F10*1000)</f>
        <v>2.5137157107231927</v>
      </c>
      <c r="AB10" s="7">
        <f t="shared" si="9"/>
        <v>2.2675736961451252</v>
      </c>
    </row>
    <row r="11" spans="1:29" x14ac:dyDescent="0.3">
      <c r="A11" s="2" t="s">
        <v>37</v>
      </c>
      <c r="B11" s="3">
        <v>120</v>
      </c>
      <c r="C11" s="3">
        <v>120</v>
      </c>
      <c r="D11" s="3">
        <v>19.25</v>
      </c>
      <c r="E11" s="3">
        <v>16.75</v>
      </c>
      <c r="F11" s="3">
        <f t="shared" si="0"/>
        <v>36</v>
      </c>
      <c r="G11" s="3">
        <f>(3000*0.1/20)</f>
        <v>15</v>
      </c>
      <c r="H11" s="3">
        <f>(3000*0.1/20)</f>
        <v>15</v>
      </c>
      <c r="I11" s="3">
        <f t="shared" si="1"/>
        <v>30</v>
      </c>
      <c r="J11" s="4">
        <f t="shared" si="2"/>
        <v>0.42499999999999999</v>
      </c>
      <c r="K11" s="5">
        <v>4.8</v>
      </c>
      <c r="L11" s="5">
        <v>4.8</v>
      </c>
      <c r="M11" s="3">
        <v>0.8</v>
      </c>
      <c r="N11" s="3">
        <v>0.8</v>
      </c>
      <c r="O11" s="3">
        <f t="shared" si="3"/>
        <v>1.6</v>
      </c>
      <c r="P11" s="3" t="s">
        <v>41</v>
      </c>
      <c r="Q11" s="3" t="s">
        <v>41</v>
      </c>
      <c r="R11" s="3">
        <f t="shared" si="10"/>
        <v>0</v>
      </c>
      <c r="S11" s="6">
        <v>0</v>
      </c>
      <c r="T11" s="3">
        <f>22*1.2</f>
        <v>26.4</v>
      </c>
      <c r="U11" s="3">
        <f t="shared" si="5"/>
        <v>112</v>
      </c>
      <c r="V11" s="3">
        <v>90</v>
      </c>
      <c r="W11" s="3">
        <f>VLOOKUP(A11,'[1]Data Center Analysis'!$B$3:$T$15,19,0)</f>
        <v>250</v>
      </c>
      <c r="X11" s="3" t="s">
        <v>41</v>
      </c>
      <c r="Y11" s="3" t="s">
        <v>41</v>
      </c>
      <c r="Z11" s="3">
        <f>VLOOKUP(A11,'[1]Data Center Analysis'!$B$3:$Y$15,24,0)</f>
        <v>90</v>
      </c>
      <c r="AA11" s="11">
        <f>(3000*0.7)*48/(F11*1000)</f>
        <v>2.8</v>
      </c>
      <c r="AB11" s="7">
        <f t="shared" si="9"/>
        <v>2.3936170212765955</v>
      </c>
    </row>
    <row r="12" spans="1:29" x14ac:dyDescent="0.3">
      <c r="A12" s="10" t="s">
        <v>31</v>
      </c>
      <c r="B12" s="3">
        <v>24</v>
      </c>
      <c r="C12" s="3">
        <v>24</v>
      </c>
      <c r="D12" s="3">
        <v>7.95</v>
      </c>
      <c r="E12" s="3">
        <v>6.25</v>
      </c>
      <c r="F12" s="3">
        <f t="shared" si="0"/>
        <v>14.2</v>
      </c>
      <c r="G12" s="3">
        <f t="shared" si="6"/>
        <v>7.5</v>
      </c>
      <c r="H12" s="3">
        <f t="shared" si="6"/>
        <v>7.5</v>
      </c>
      <c r="I12" s="3">
        <f t="shared" si="1"/>
        <v>15</v>
      </c>
      <c r="J12" s="4">
        <f t="shared" si="2"/>
        <v>0.90416666666666667</v>
      </c>
      <c r="K12" s="15">
        <v>4.8</v>
      </c>
      <c r="L12" s="17">
        <v>4.8</v>
      </c>
      <c r="M12" s="14">
        <v>0.8</v>
      </c>
      <c r="N12" s="14">
        <v>0.8</v>
      </c>
      <c r="O12" s="14">
        <f t="shared" si="3"/>
        <v>1.6</v>
      </c>
      <c r="P12" s="3" t="s">
        <v>41</v>
      </c>
      <c r="Q12" s="3" t="s">
        <v>41</v>
      </c>
      <c r="R12" s="3">
        <f t="shared" si="10"/>
        <v>0</v>
      </c>
      <c r="S12" s="6">
        <v>0</v>
      </c>
      <c r="T12" s="3">
        <f>8*1.2</f>
        <v>9.6</v>
      </c>
      <c r="U12" s="3">
        <f t="shared" si="5"/>
        <v>58.4</v>
      </c>
      <c r="V12" s="12">
        <v>42</v>
      </c>
      <c r="W12" s="12">
        <v>47</v>
      </c>
      <c r="X12" s="3">
        <f>150*0.8</f>
        <v>120</v>
      </c>
      <c r="Y12" s="3">
        <f>100*0.8</f>
        <v>80</v>
      </c>
      <c r="Z12" s="12">
        <v>42</v>
      </c>
      <c r="AA12" s="11">
        <f>(1500*0.7)*48/(F12*1000)</f>
        <v>3.5492957746478875</v>
      </c>
      <c r="AB12" s="20">
        <f>V12/(F12+O12)</f>
        <v>2.6582278481012662</v>
      </c>
    </row>
    <row r="13" spans="1:29" x14ac:dyDescent="0.3">
      <c r="A13" s="10" t="s">
        <v>40</v>
      </c>
      <c r="B13" s="3">
        <v>24</v>
      </c>
      <c r="C13" s="3">
        <v>24</v>
      </c>
      <c r="D13" s="3">
        <v>1.75</v>
      </c>
      <c r="E13" s="3">
        <v>2.2000000000000002</v>
      </c>
      <c r="F13" s="3">
        <f t="shared" si="0"/>
        <v>3.95</v>
      </c>
      <c r="G13" s="3">
        <f>(200*0.2/20)</f>
        <v>2</v>
      </c>
      <c r="H13" s="3">
        <f>(200*0.2/20)</f>
        <v>2</v>
      </c>
      <c r="I13" s="3">
        <f t="shared" si="1"/>
        <v>4</v>
      </c>
      <c r="J13" s="4">
        <f t="shared" si="2"/>
        <v>0.24791666666666667</v>
      </c>
      <c r="K13" s="16"/>
      <c r="L13" s="17"/>
      <c r="M13" s="14"/>
      <c r="N13" s="14"/>
      <c r="O13" s="14"/>
      <c r="P13" s="3" t="s">
        <v>41</v>
      </c>
      <c r="Q13" s="3" t="s">
        <v>41</v>
      </c>
      <c r="R13" s="3">
        <f t="shared" si="10"/>
        <v>0</v>
      </c>
      <c r="S13" s="6">
        <v>0</v>
      </c>
      <c r="T13" s="3">
        <v>0</v>
      </c>
      <c r="U13" s="3">
        <f>T13+R13+O13+I13+F13+15+3</f>
        <v>25.95</v>
      </c>
      <c r="V13" s="13"/>
      <c r="W13" s="13"/>
      <c r="X13" s="3" t="s">
        <v>41</v>
      </c>
      <c r="Y13" s="3" t="s">
        <v>41</v>
      </c>
      <c r="Z13" s="13"/>
      <c r="AA13" s="11">
        <f>(100*0.8)*48/(F13*1000)</f>
        <v>0.97215189873417718</v>
      </c>
      <c r="AB13" s="21"/>
    </row>
    <row r="14" spans="1:29" x14ac:dyDescent="0.3">
      <c r="A14" s="2" t="s">
        <v>33</v>
      </c>
      <c r="B14" s="3">
        <v>72</v>
      </c>
      <c r="C14" s="3">
        <v>72</v>
      </c>
      <c r="D14" s="3">
        <v>8.25</v>
      </c>
      <c r="E14" s="3">
        <v>8.6</v>
      </c>
      <c r="F14" s="3">
        <f t="shared" si="0"/>
        <v>16.850000000000001</v>
      </c>
      <c r="G14" s="3">
        <f>(2000*0.1/20)</f>
        <v>10</v>
      </c>
      <c r="H14" s="3">
        <f>(1000*0.2/20)</f>
        <v>10</v>
      </c>
      <c r="I14" s="3">
        <f t="shared" si="1"/>
        <v>20</v>
      </c>
      <c r="J14" s="4">
        <f t="shared" si="2"/>
        <v>0.37291666666666667</v>
      </c>
      <c r="K14" s="3">
        <f>10*0.8</f>
        <v>8</v>
      </c>
      <c r="L14" s="3">
        <f>10*0.8</f>
        <v>8</v>
      </c>
      <c r="M14" s="5">
        <v>2.5</v>
      </c>
      <c r="N14" s="5">
        <v>2.5</v>
      </c>
      <c r="O14" s="3">
        <f t="shared" si="3"/>
        <v>5</v>
      </c>
      <c r="P14" s="5">
        <f>((20*12)*0.1*100)/1000</f>
        <v>2.4</v>
      </c>
      <c r="Q14" s="5">
        <f>((20*12)*0.1*100)/1000</f>
        <v>2.4</v>
      </c>
      <c r="R14" s="3">
        <f t="shared" si="10"/>
        <v>4.8</v>
      </c>
      <c r="S14" s="6">
        <f t="shared" si="8"/>
        <v>0.92500000000000004</v>
      </c>
      <c r="T14" s="3">
        <f>(4*4.5)+(2*4)+(2*2)+(1*1)</f>
        <v>31</v>
      </c>
      <c r="U14" s="3">
        <f t="shared" si="5"/>
        <v>95.65</v>
      </c>
      <c r="V14" s="3">
        <v>65</v>
      </c>
      <c r="W14" s="3">
        <f>VLOOKUP(A14,'[1]Data Center Analysis'!$B$3:$T$15,19,0)</f>
        <v>84</v>
      </c>
      <c r="X14" s="3">
        <f>100*0.8</f>
        <v>80</v>
      </c>
      <c r="Y14" s="3" t="s">
        <v>41</v>
      </c>
      <c r="Z14" s="3">
        <f>VLOOKUP(A14,'[1]Data Center Analysis'!$B$3:$Y$15,24,0)</f>
        <v>65</v>
      </c>
      <c r="AA14" s="11">
        <f>(1200*0.8)*48/(F14*1000)</f>
        <v>2.7347181008902077</v>
      </c>
      <c r="AB14" s="7">
        <f>V14/(F14+O14)</f>
        <v>2.9748283752860409</v>
      </c>
    </row>
    <row r="15" spans="1:29" x14ac:dyDescent="0.3">
      <c r="A15" s="8" t="s">
        <v>34</v>
      </c>
      <c r="B15" s="3">
        <v>24</v>
      </c>
      <c r="C15" s="3">
        <v>24</v>
      </c>
      <c r="D15" s="3">
        <v>4.2</v>
      </c>
      <c r="E15" s="3">
        <v>4.5</v>
      </c>
      <c r="F15" s="3">
        <f t="shared" si="0"/>
        <v>8.6999999999999993</v>
      </c>
      <c r="G15" s="3">
        <f>(500*0.2/20)</f>
        <v>5</v>
      </c>
      <c r="H15" s="3">
        <f>(500*0.2/20)</f>
        <v>5</v>
      </c>
      <c r="I15" s="3">
        <f t="shared" si="1"/>
        <v>10</v>
      </c>
      <c r="J15" s="4">
        <f t="shared" si="2"/>
        <v>0.5708333333333333</v>
      </c>
      <c r="K15" s="3">
        <f>10*0.8</f>
        <v>8</v>
      </c>
      <c r="L15" s="3">
        <f>10*0.8</f>
        <v>8</v>
      </c>
      <c r="M15" s="3">
        <v>1</v>
      </c>
      <c r="N15" s="3">
        <v>1</v>
      </c>
      <c r="O15" s="3">
        <f t="shared" si="3"/>
        <v>2</v>
      </c>
      <c r="P15" s="5">
        <f>((20*12)*0.1*100)/1000</f>
        <v>2.4</v>
      </c>
      <c r="Q15" s="5">
        <f>((20*12)*0.1*100)/1000</f>
        <v>2.4</v>
      </c>
      <c r="R15" s="3">
        <f t="shared" si="10"/>
        <v>4.8</v>
      </c>
      <c r="S15" s="6">
        <f t="shared" si="8"/>
        <v>0.55000000000000004</v>
      </c>
      <c r="T15" s="3">
        <f>9*1.2</f>
        <v>10.799999999999999</v>
      </c>
      <c r="U15" s="3">
        <f t="shared" si="5"/>
        <v>54.3</v>
      </c>
      <c r="V15" s="3">
        <v>24</v>
      </c>
      <c r="W15" s="3">
        <f>VLOOKUP(A15,'[1]Data Center Analysis'!$B$3:$T$15,19,0)</f>
        <v>40</v>
      </c>
      <c r="X15" s="3">
        <f>100*0.8</f>
        <v>80</v>
      </c>
      <c r="Y15" s="3" t="s">
        <v>41</v>
      </c>
      <c r="Z15" s="3">
        <f>VLOOKUP(A15,'[1]Data Center Analysis'!$B$3:$Y$15,24,0)</f>
        <v>24</v>
      </c>
      <c r="AA15" s="11">
        <f>(500*0.8)*48/(F15*1000)</f>
        <v>2.2068965517241379</v>
      </c>
      <c r="AB15" s="7">
        <f>V15/(F15+O15)</f>
        <v>2.2429906542056077</v>
      </c>
    </row>
    <row r="16" spans="1:29" x14ac:dyDescent="0.3">
      <c r="T16" s="3"/>
      <c r="U16" s="3"/>
    </row>
  </sheetData>
  <mergeCells count="23">
    <mergeCell ref="Z4:Z5"/>
    <mergeCell ref="Z12:Z13"/>
    <mergeCell ref="AB12:AB13"/>
    <mergeCell ref="AB4:AB5"/>
    <mergeCell ref="V12:V13"/>
    <mergeCell ref="Q4:Q5"/>
    <mergeCell ref="R4:R5"/>
    <mergeCell ref="V4:V5"/>
    <mergeCell ref="W4:W5"/>
    <mergeCell ref="W12:W13"/>
    <mergeCell ref="S4:S5"/>
    <mergeCell ref="T4:T5"/>
    <mergeCell ref="P4:P5"/>
    <mergeCell ref="N4:N5"/>
    <mergeCell ref="K12:K13"/>
    <mergeCell ref="L12:L13"/>
    <mergeCell ref="M12:M13"/>
    <mergeCell ref="N12:N13"/>
    <mergeCell ref="K4:K5"/>
    <mergeCell ref="L4:L5"/>
    <mergeCell ref="M4:M5"/>
    <mergeCell ref="O12:O13"/>
    <mergeCell ref="O4:O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Abrar Noor Intesar/Central Power SComm</dc:creator>
  <cp:lastModifiedBy>Abrar Noor Intesar/Central Power SComm</cp:lastModifiedBy>
  <dcterms:created xsi:type="dcterms:W3CDTF">2026-01-21T00:51:33Z</dcterms:created>
  <dcterms:modified xsi:type="dcterms:W3CDTF">2026-02-05T10:32:04Z</dcterms:modified>
</cp:coreProperties>
</file>